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one Definitions" sheetId="1" state="visible" r:id="rId3"/>
    <sheet name="State Lookup" sheetId="2" state="visible" r:id="rId4"/>
    <sheet name="Base Rates" sheetId="3" state="visible" r:id="rId5"/>
    <sheet name="Accessorials" sheetId="4" state="visible" r:id="rId6"/>
    <sheet name="Quote Calculator" sheetId="5" state="visible" r:id="rId7"/>
    <sheet name="Historical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<sst xmlns="http://schemas.openxmlformats.org/spreadsheetml/2006/main" count="287" uniqueCount="180">
  <si>
    <t xml:space="preserve">Zone</t>
  </si>
  <si>
    <t xml:space="preserve">States</t>
  </si>
  <si>
    <t xml:space="preserve">Description</t>
  </si>
  <si>
    <t xml:space="preserve">A</t>
  </si>
  <si>
    <t xml:space="preserve">ME, MA, NH, RI, VT</t>
  </si>
  <si>
    <t xml:space="preserve">New England (local)</t>
  </si>
  <si>
    <t xml:space="preserve">B</t>
  </si>
  <si>
    <t xml:space="preserve">CT, DE, DC, MD, NJ, NY, PA</t>
  </si>
  <si>
    <t xml:space="preserve">Mid-Atlantic</t>
  </si>
  <si>
    <t xml:space="preserve">C</t>
  </si>
  <si>
    <t xml:space="preserve">AL, FL, GA, IN, KY, MI, MS, NC, OH, SC, TN, VA, WV</t>
  </si>
  <si>
    <t xml:space="preserve">Southeast / Near Midwest</t>
  </si>
  <si>
    <t xml:space="preserve">D</t>
  </si>
  <si>
    <t xml:space="preserve">AR, IA, IL, KS, LA, MN, MO, NE, ND, OK, SD, TX, WI</t>
  </si>
  <si>
    <t xml:space="preserve">Central / South Central</t>
  </si>
  <si>
    <t xml:space="preserve">E</t>
  </si>
  <si>
    <t xml:space="preserve">AZ, CA, CO, ID, MT, NM, NV, OR, UT, WA, WY</t>
  </si>
  <si>
    <t xml:space="preserve">West / Mountain</t>
  </si>
  <si>
    <t xml:space="preserve">PR</t>
  </si>
  <si>
    <t xml:space="preserve">Puerto Rico</t>
  </si>
  <si>
    <t xml:space="preserve">HI</t>
  </si>
  <si>
    <t xml:space="preserve">Hawaii</t>
  </si>
  <si>
    <t xml:space="preserve">AK</t>
  </si>
  <si>
    <t xml:space="preserve">Alaska</t>
  </si>
  <si>
    <t xml:space="preserve">State</t>
  </si>
  <si>
    <t xml:space="preserve">AL</t>
  </si>
  <si>
    <t xml:space="preserve">AR</t>
  </si>
  <si>
    <t xml:space="preserve">AZ</t>
  </si>
  <si>
    <t xml:space="preserve">CA</t>
  </si>
  <si>
    <t xml:space="preserve">CO</t>
  </si>
  <si>
    <t xml:space="preserve">CT</t>
  </si>
  <si>
    <t xml:space="preserve">DC</t>
  </si>
  <si>
    <t xml:space="preserve">DE</t>
  </si>
  <si>
    <t xml:space="preserve">FL</t>
  </si>
  <si>
    <t xml:space="preserve">GA</t>
  </si>
  <si>
    <t xml:space="preserve">IA</t>
  </si>
  <si>
    <t xml:space="preserve">ID</t>
  </si>
  <si>
    <t xml:space="preserve">IL</t>
  </si>
  <si>
    <t xml:space="preserve">IN</t>
  </si>
  <si>
    <t xml:space="preserve">KS</t>
  </si>
  <si>
    <t xml:space="preserve">KY</t>
  </si>
  <si>
    <t xml:space="preserve">LA</t>
  </si>
  <si>
    <t xml:space="preserve">MA</t>
  </si>
  <si>
    <t xml:space="preserve">MD</t>
  </si>
  <si>
    <t xml:space="preserve">ME</t>
  </si>
  <si>
    <t xml:space="preserve">MI</t>
  </si>
  <si>
    <t xml:space="preserve">MN</t>
  </si>
  <si>
    <t xml:space="preserve">MO</t>
  </si>
  <si>
    <t xml:space="preserve">MS</t>
  </si>
  <si>
    <t xml:space="preserve">MT</t>
  </si>
  <si>
    <t xml:space="preserve">NC</t>
  </si>
  <si>
    <t xml:space="preserve">ND</t>
  </si>
  <si>
    <t xml:space="preserve">NE</t>
  </si>
  <si>
    <t xml:space="preserve">NH</t>
  </si>
  <si>
    <t xml:space="preserve">NJ</t>
  </si>
  <si>
    <t xml:space="preserve">NM</t>
  </si>
  <si>
    <t xml:space="preserve">NV</t>
  </si>
  <si>
    <t xml:space="preserve">NY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</si>
  <si>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</si>
  <si>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</si>
  <si>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</si>
  <si>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</si>
  <si>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</si>
  <si>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</si>
  <si>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</si>
  <si>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</si>
  <si>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</si>
  <si>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</si>
  <si>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VA</t>
  </si>
  <si>
    <t xml:space="preserve">VT</t>
  </si>
  <si>
    <t xml:space="preserve">WA</t>
  </si>
  <si>
    <t xml:space="preserve">WI</t>
  </si>
  <si>
    <t xml:space="preserve">WV</t>
  </si>
  <si>
    <t xml:space="preserve">WY</t>
  </si>
  <si>
    <t xml:space="preserve">Weight Min (lbs)</t>
  </si>
  <si>
    <t xml:space="preserve">Weight Max (lbs)</t>
  </si>
  <si>
    <t xml:space="preserve">Zone A</t>
  </si>
  <si>
    <t xml:space="preserve">Zone B</t>
  </si>
  <si>
    <t xml:space="preserve">Zone C</t>
  </si>
  <si>
    <t xml:space="preserve">Zone D</t>
  </si>
  <si>
    <t xml:space="preserve">Zone E</t>
  </si>
  <si>
    <t xml:space="preserve">Zone PR</t>
  </si>
  <si>
    <t xml:space="preserve">Zone HI</t>
  </si>
  <si>
    <t xml:space="preserve">Zone AK</t>
  </si>
  <si>
    <t xml:space="preserve">CALL</t>
  </si>
  <si>
    <t xml:space="preserve">Service</t>
  </si>
  <si>
    <t xml:space="preserve">Fee Type</t>
  </si>
  <si>
    <t xml:space="preserve">Amount</t>
  </si>
  <si>
    <t xml:space="preserve">Notes</t>
  </si>
  <si>
    <t xml:space="preserve">Liftgate Pickup</t>
  </si>
  <si>
    <t xml:space="preserve">Flat</t>
  </si>
  <si>
    <t xml:space="preserve">Required if no loading dock at origin</t>
  </si>
  <si>
    <t xml:space="preserve">Liftgate Delivery</t>
  </si>
  <si>
    <t xml:space="preserve">Required if no loading dock at destination</t>
  </si>
  <si>
    <t xml:space="preserve">Residential Pickup</t>
  </si>
  <si>
    <t xml:space="preserve">Non-commercial address pickup</t>
  </si>
  <si>
    <t xml:space="preserve">Residential Delivery</t>
  </si>
  <si>
    <t xml:space="preserve">Non-commercial address delivery</t>
  </si>
  <si>
    <t xml:space="preserve">Inside Pickup</t>
  </si>
  <si>
    <t xml:space="preserve">Carrier brings freight from inside building</t>
  </si>
  <si>
    <t xml:space="preserve">Inside Delivery</t>
  </si>
  <si>
    <t xml:space="preserve">Carrier brings freight inside building</t>
  </si>
  <si>
    <t xml:space="preserve">Limited Access Pickup</t>
  </si>
  <si>
    <t xml:space="preserve">Construction sites, schools, churches, etc.</t>
  </si>
  <si>
    <t xml:space="preserve">Limited Access Delivery</t>
  </si>
  <si>
    <t xml:space="preserve">Appointment/Call Ahead</t>
  </si>
  <si>
    <t xml:space="preserve">Scheduled delivery window</t>
  </si>
  <si>
    <t xml:space="preserve">Sort &amp; Segregate</t>
  </si>
  <si>
    <t xml:space="preserve">Per shipment</t>
  </si>
  <si>
    <t xml:space="preserve">Hazmat</t>
  </si>
  <si>
    <t xml:space="preserve">Hazardous materials handling</t>
  </si>
  <si>
    <t xml:space="preserve">Fuel Surcharge</t>
  </si>
  <si>
    <t xml:space="preserve">Percentage</t>
  </si>
  <si>
    <t xml:space="preserve">Applied to base rate (currently ~20%)</t>
  </si>
  <si>
    <t xml:space="preserve">Insurance (Basic)</t>
  </si>
  <si>
    <t xml:space="preserve">Standard coverage up to $5,000</t>
  </si>
  <si>
    <t xml:space="preserve">Insurance (Enhanced)</t>
  </si>
  <si>
    <t xml:space="preserve">Per $1000</t>
  </si>
  <si>
    <t xml:space="preserve">Per $1,000 of declared value over $5,000</t>
  </si>
  <si>
    <t xml:space="preserve">LTL SHIPPING QUOTE CALCULATOR</t>
  </si>
  <si>
    <t xml:space="preserve">SHIPMENT DETAILS</t>
  </si>
  <si>
    <t xml:space="preserve">Origin State:</t>
  </si>
  <si>
    <t xml:space="preserve">Destination State:</t>
  </si>
  <si>
    <t xml:space="preserve">← Enter 2-letter state code</t>
  </si>
  <si>
    <t xml:space="preserve">Weight (lbs):</t>
  </si>
  <si>
    <t xml:space="preserve">← Enter total weight</t>
  </si>
  <si>
    <t xml:space="preserve">ACCESSORIALS (mark X if needed)</t>
  </si>
  <si>
    <t xml:space="preserve">Liftgate Pickup:</t>
  </si>
  <si>
    <t xml:space="preserve">Liftgate Delivery:</t>
  </si>
  <si>
    <t xml:space="preserve">Residential Pickup:</t>
  </si>
  <si>
    <t xml:space="preserve">Residential Delivery:</t>
  </si>
  <si>
    <t xml:space="preserve">Inside Pickup:</t>
  </si>
  <si>
    <t xml:space="preserve">Inside Delivery:</t>
  </si>
  <si>
    <t xml:space="preserve">Limited Access Pickup:</t>
  </si>
  <si>
    <t xml:space="preserve">Limited Access Delivery:</t>
  </si>
  <si>
    <t xml:space="preserve">Appointment Required:</t>
  </si>
  <si>
    <t xml:space="preserve">Hazmat:</t>
  </si>
  <si>
    <t xml:space="preserve">DECLARED VALUE</t>
  </si>
  <si>
    <t xml:space="preserve">Item Value ($):</t>
  </si>
  <si>
    <t xml:space="preserve">← For insurance calculation</t>
  </si>
  <si>
    <t xml:space="preserve">QUOTE CALCULATION</t>
  </si>
  <si>
    <t xml:space="preserve">Cost</t>
  </si>
  <si>
    <t xml:space="preserve">Destination Zone:</t>
  </si>
  <si>
    <t xml:space="preserve">Base Rate:</t>
  </si>
  <si>
    <t xml:space="preserve">(lookup from Base Rates)</t>
  </si>
  <si>
    <t xml:space="preserve">Fuel Surcharge (20%):</t>
  </si>
  <si>
    <t xml:space="preserve">Accessorial Fees:</t>
  </si>
  <si>
    <t xml:space="preserve">  Liftgate Pickup:</t>
  </si>
  <si>
    <t xml:space="preserve">  Liftgate Delivery:</t>
  </si>
  <si>
    <t xml:space="preserve">  Residential Pickup:</t>
  </si>
  <si>
    <t xml:space="preserve">  Residential Delivery:</t>
  </si>
  <si>
    <t xml:space="preserve">  Inside Pickup:</t>
  </si>
  <si>
    <t xml:space="preserve">  Inside Delivery:</t>
  </si>
  <si>
    <t xml:space="preserve">  Limited Access Pickup:</t>
  </si>
  <si>
    <t xml:space="preserve">  Limited Access Delivery:</t>
  </si>
  <si>
    <t xml:space="preserve">  Appointment:</t>
  </si>
  <si>
    <t xml:space="preserve">  Hazmat:</t>
  </si>
  <si>
    <t xml:space="preserve">Insurance:</t>
  </si>
  <si>
    <t xml:space="preserve">SUBTOTAL:</t>
  </si>
  <si>
    <t xml:space="preserve">Buffer (15%):</t>
  </si>
  <si>
    <t xml:space="preserve">ESTIMATED TOTAL:</t>
  </si>
  <si>
    <t xml:space="preserve">Notes:</t>
  </si>
  <si>
    <t xml:space="preserve">- Rates are estimates based on historical data</t>
  </si>
  <si>
    <t xml:space="preserve">- Actual carrier rates may vary ±15%</t>
  </si>
  <si>
    <t xml:space="preserve">- For shipments over 5,000 lbs, contact for quote</t>
  </si>
  <si>
    <t xml:space="preserve">- Fuel surcharge subject to change</t>
  </si>
  <si>
    <t xml:space="preserve">Invoice #</t>
  </si>
  <si>
    <t xml:space="preserve">Origin</t>
  </si>
  <si>
    <t xml:space="preserve">Destination</t>
  </si>
  <si>
    <t xml:space="preserve">Dest Zone</t>
  </si>
  <si>
    <t xml:space="preserve">Weight (lbs)</t>
  </si>
  <si>
    <t xml:space="preserve">Base Cost</t>
  </si>
  <si>
    <t xml:space="preserve">Insurance</t>
  </si>
  <si>
    <t xml:space="preserve">Total Cost</t>
  </si>
  <si>
    <t xml:space="preserve">Cost/lb</t>
  </si>
  <si>
    <t xml:space="preserve">Outlier - likely accessorials</t>
  </si>
  <si>
    <t xml:space="preserve">4 pieces</t>
  </si>
  <si>
    <t xml:space="preserve">CO Example</t>
  </si>
  <si>
    <t xml:space="preserve">~330 base</t>
  </si>
  <si>
    <t xml:space="preserve">Liftgate $51.50, Residential $62, Fuel $42.97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</si>
</sst>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5" hidden="false" customHeight="false" outlineLevel="0" collapsed="false">
      <c r="A7" s="0" t="s">
        <v>18</v>
      </c>
      <c r="B7" s="0" t="s">
        <v>18</v>
      </c>
      <c r="C7" s="0" t="s">
        <v>19</v>
      </c>
    </row>
    <row r="8" customFormat="false" ht="15" hidden="false" customHeight="false" outlineLevel="0" collapsed="false">
      <c r="A8" s="0" t="s">
        <v>20</v>
      </c>
      <c r="B8" s="0" t="s">
        <v>20</v>
      </c>
      <c r="C8" s="0" t="s">
        <v>21</v>
      </c>
    </row>
    <row r="9" customFormat="false" ht="15" hidden="false" customHeight="false" outlineLevel="0" collapsed="false">
      <c r="A9" s="0" t="s">
        <v>22</v>
      </c>
      <c r="B9" s="0" t="s">
        <v>22</v>
      </c>
      <c r="C9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</cols>
  <sheetData>
    <row r="1" customFormat="false" ht="15" hidden="false" customHeight="false" outlineLevel="0" collapsed="false">
      <c r="A1" s="1" t="s">
        <v>24</v>
      </c>
      <c r="B1" s="1" t="s">
        <v>0</v>
      </c>
    </row>
    <row r="2" customFormat="false" ht="15" hidden="false" customHeight="false" outlineLevel="0" collapsed="false">
      <c r="A2" s="0" t="s">
        <v>22</v>
      </c>
      <c r="B2" s="0" t="s">
        <v>22</v>
      </c>
    </row>
    <row r="3" customFormat="false" ht="15" hidden="false" customHeight="false" outlineLevel="0" collapsed="false">
      <c r="A3" s="0" t="s">
        <v>25</v>
      </c>
      <c r="B3" s="0" t="s">
        <v>9</v>
      </c>
    </row>
    <row r="4" customFormat="false" ht="15" hidden="false" customHeight="false" outlineLevel="0" collapsed="false">
      <c r="A4" s="0" t="s">
        <v>26</v>
      </c>
      <c r="B4" s="0" t="s">
        <v>12</v>
      </c>
    </row>
    <row r="5" customFormat="false" ht="15" hidden="false" customHeight="false" outlineLevel="0" collapsed="false">
      <c r="A5" s="0" t="s">
        <v>27</v>
      </c>
      <c r="B5" s="0" t="s">
        <v>15</v>
      </c>
    </row>
    <row r="6" customFormat="false" ht="15" hidden="false" customHeight="false" outlineLevel="0" collapsed="false">
      <c r="A6" s="0" t="s">
        <v>28</v>
      </c>
      <c r="B6" s="0" t="s">
        <v>15</v>
      </c>
    </row>
    <row r="7" customFormat="false" ht="15" hidden="false" customHeight="false" outlineLevel="0" collapsed="false">
      <c r="A7" s="0" t="s">
        <v>29</v>
      </c>
      <c r="B7" s="0" t="s">
        <v>15</v>
      </c>
    </row>
    <row r="8" customFormat="false" ht="15" hidden="false" customHeight="false" outlineLevel="0" collapsed="false">
      <c r="A8" s="0" t="s">
        <v>30</v>
      </c>
      <c r="B8" s="0" t="s">
        <v>6</v>
      </c>
    </row>
    <row r="9" customFormat="false" ht="15" hidden="false" customHeight="false" outlineLevel="0" collapsed="false">
      <c r="A9" s="0" t="s">
        <v>31</v>
      </c>
      <c r="B9" s="0" t="s">
        <v>6</v>
      </c>
    </row>
    <row r="10" customFormat="false" ht="15" hidden="false" customHeight="false" outlineLevel="0" collapsed="false">
      <c r="A10" s="0" t="s">
        <v>32</v>
      </c>
      <c r="B10" s="0" t="s">
        <v>6</v>
      </c>
    </row>
    <row r="11" customFormat="false" ht="15" hidden="false" customHeight="false" outlineLevel="0" collapsed="false">
      <c r="A11" s="0" t="s">
        <v>33</v>
      </c>
      <c r="B11" s="0" t="s">
        <v>9</v>
      </c>
    </row>
    <row r="12" customFormat="false" ht="15" hidden="false" customHeight="false" outlineLevel="0" collapsed="false">
      <c r="A12" s="0" t="s">
        <v>34</v>
      </c>
      <c r="B12" s="0" t="s">
        <v>9</v>
      </c>
    </row>
    <row r="13" customFormat="false" ht="15" hidden="false" customHeight="false" outlineLevel="0" collapsed="false">
      <c r="A13" s="0" t="s">
        <v>20</v>
      </c>
      <c r="B13" s="0" t="s">
        <v>20</v>
      </c>
    </row>
    <row r="14" customFormat="false" ht="15" hidden="false" customHeight="false" outlineLevel="0" collapsed="false">
      <c r="A14" s="0" t="s">
        <v>35</v>
      </c>
      <c r="B14" s="0" t="s">
        <v>12</v>
      </c>
    </row>
    <row r="15" customFormat="false" ht="15" hidden="false" customHeight="false" outlineLevel="0" collapsed="false">
      <c r="A15" s="0" t="s">
        <v>36</v>
      </c>
      <c r="B15" s="0" t="s">
        <v>15</v>
      </c>
    </row>
    <row r="16" customFormat="false" ht="15" hidden="false" customHeight="false" outlineLevel="0" collapsed="false">
      <c r="A16" s="0" t="s">
        <v>37</v>
      </c>
      <c r="B16" s="0" t="s">
        <v>12</v>
      </c>
    </row>
    <row r="17" customFormat="false" ht="15" hidden="false" customHeight="false" outlineLevel="0" collapsed="false">
      <c r="A17" s="0" t="s">
        <v>38</v>
      </c>
      <c r="B17" s="0" t="s">
        <v>9</v>
      </c>
    </row>
    <row r="18" customFormat="false" ht="15" hidden="false" customHeight="false" outlineLevel="0" collapsed="false">
      <c r="A18" s="0" t="s">
        <v>39</v>
      </c>
      <c r="B18" s="0" t="s">
        <v>12</v>
      </c>
    </row>
    <row r="19" customFormat="false" ht="15" hidden="false" customHeight="false" outlineLevel="0" collapsed="false">
      <c r="A19" s="0" t="s">
        <v>40</v>
      </c>
      <c r="B19" s="0" t="s">
        <v>9</v>
      </c>
    </row>
    <row r="20" customFormat="false" ht="15" hidden="false" customHeight="false" outlineLevel="0" collapsed="false">
      <c r="A20" s="0" t="s">
        <v>41</v>
      </c>
      <c r="B20" s="0" t="s">
        <v>12</v>
      </c>
    </row>
    <row r="21" customFormat="false" ht="15" hidden="false" customHeight="false" outlineLevel="0" collapsed="false">
      <c r="A21" s="0" t="s">
        <v>42</v>
      </c>
      <c r="B21" s="0" t="s">
        <v>3</v>
      </c>
    </row>
    <row r="22" customFormat="false" ht="15" hidden="false" customHeight="false" outlineLevel="0" collapsed="false">
      <c r="A22" s="0" t="s">
        <v>43</v>
      </c>
      <c r="B22" s="0" t="s">
        <v>6</v>
      </c>
    </row>
    <row r="23" customFormat="false" ht="15" hidden="false" customHeight="false" outlineLevel="0" collapsed="false">
      <c r="A23" s="0" t="s">
        <v>44</v>
      </c>
      <c r="B23" s="0" t="s">
        <v>3</v>
      </c>
    </row>
    <row r="24" customFormat="false" ht="15" hidden="false" customHeight="false" outlineLevel="0" collapsed="false">
      <c r="A24" s="0" t="s">
        <v>45</v>
      </c>
      <c r="B24" s="0" t="s">
        <v>9</v>
      </c>
    </row>
    <row r="25" customFormat="false" ht="15" hidden="false" customHeight="false" outlineLevel="0" collapsed="false">
      <c r="A25" s="0" t="s">
        <v>46</v>
      </c>
      <c r="B25" s="0" t="s">
        <v>12</v>
      </c>
    </row>
    <row r="26" customFormat="false" ht="15" hidden="false" customHeight="false" outlineLevel="0" collapsed="false">
      <c r="A26" s="0" t="s">
        <v>47</v>
      </c>
      <c r="B26" s="0" t="s">
        <v>12</v>
      </c>
    </row>
    <row r="27" customFormat="false" ht="15" hidden="false" customHeight="false" outlineLevel="0" collapsed="false">
      <c r="A27" s="0" t="s">
        <v>48</v>
      </c>
      <c r="B27" s="0" t="s">
        <v>9</v>
      </c>
    </row>
    <row r="28" customFormat="false" ht="15" hidden="false" customHeight="false" outlineLevel="0" collapsed="false">
      <c r="A28" s="0" t="s">
        <v>49</v>
      </c>
      <c r="B28" s="0" t="s">
        <v>15</v>
      </c>
    </row>
    <row r="29" customFormat="false" ht="15" hidden="false" customHeight="false" outlineLevel="0" collapsed="false">
      <c r="A29" s="0" t="s">
        <v>50</v>
      </c>
      <c r="B29" s="0" t="s">
        <v>9</v>
      </c>
    </row>
    <row r="30" customFormat="false" ht="15" hidden="false" customHeight="false" outlineLevel="0" collapsed="false">
      <c r="A30" s="0" t="s">
        <v>51</v>
      </c>
      <c r="B30" s="0" t="s">
        <v>12</v>
      </c>
    </row>
    <row r="31" customFormat="false" ht="15" hidden="false" customHeight="false" outlineLevel="0" collapsed="false">
      <c r="A31" s="0" t="s">
        <v>52</v>
      </c>
      <c r="B31" s="0" t="s">
        <v>12</v>
      </c>
    </row>
    <row r="32" customFormat="false" ht="15" hidden="false" customHeight="false" outlineLevel="0" collapsed="false">
      <c r="A32" s="0" t="s">
        <v>53</v>
      </c>
      <c r="B32" s="0" t="s">
        <v>3</v>
      </c>
    </row>
    <row r="33" customFormat="false" ht="15" hidden="false" customHeight="false" outlineLevel="0" collapsed="false">
      <c r="A33" s="0" t="s">
        <v>54</v>
      </c>
      <c r="B33" s="0" t="s">
        <v>6</v>
      </c>
    </row>
    <row r="34" customFormat="false" ht="15" hidden="false" customHeight="false" outlineLevel="0" collapsed="false">
      <c r="A34" s="0" t="s">
        <v>55</v>
      </c>
      <c r="B34" s="0" t="s">
        <v>15</v>
      </c>
    </row>
    <row r="35" customFormat="false" ht="15" hidden="false" customHeight="false" outlineLevel="0" collapsed="false">
      <c r="A35" s="0" t="s">
        <v>56</v>
      </c>
      <c r="B35" s="0" t="s">
        <v>15</v>
      </c>
    </row>
    <row r="36" customFormat="false" ht="15" hidden="false" customHeight="false" outlineLevel="0" collapsed="false">
      <c r="A36" s="0" t="s">
        <v>57</v>
      </c>
      <c r="B36" s="0" t="s">
        <v>6</v>
      </c>
    </row>
    <row r="37" customFormat="false" ht="15" hidden="false" customHeight="false" outlineLevel="0" collapsed="false">
      <c r="A37" s="0" t="s">
        <v>58</v>
      </c>
      <c r="B37" s="0" t="s">
        <v>9</v>
      </c>
    </row>
    <row r="38" customFormat="false" ht="15" hidden="false" customHeight="false" outlineLevel="0" collapsed="false">
      <c r="A38" s="0" t="s">
        <v>59</v>
      </c>
      <c r="B38" s="0" t="s">
        <v>12</v>
      </c>
    </row>
    <row r="39" customFormat="false" ht="15" hidden="false" customHeight="false" outlineLevel="0" collapsed="false">
      <c r="A39" s="0" t="s">
        <v>60</v>
      </c>
      <c r="B39" s="0" t="s">
        <v>15</v>
      </c>
    </row>
    <row r="40" customFormat="false" ht="15" hidden="false" customHeight="false" outlineLevel="0" collapsed="false">
      <c r="A40" s="0" t="s">
        <v>61</v>
      </c>
      <c r="B40" s="0" t="s">
        <v>6</v>
      </c>
    </row>
    <row r="41" customFormat="false" ht="15" hidden="false" customHeight="false" outlineLevel="0" collapsed="false">
      <c r="A41" s="0" t="s">
        <v>18</v>
      </c>
      <c r="B41" s="0" t="s">
        <v>18</v>
      </c>
    </row>
    <row r="42" customFormat="false" ht="15" hidden="false" customHeight="false" outlineLevel="0" collapsed="false">
      <c r="A42" s="0" t="s">
        <v>62</v>
      </c>
      <c r="B42" s="0" t="s">
        <v>3</v>
      </c>
    </row>
    <row r="43" customFormat="false" ht="15" hidden="false" customHeight="false" outlineLevel="0" collapsed="false">
      <c r="A43" s="0" t="s">
        <v>63</v>
      </c>
      <c r="B43" s="0" t="s">
        <v>9</v>
      </c>
    </row>
    <row r="44" customFormat="false" ht="15" hidden="false" customHeight="false" outlineLevel="0" collapsed="false">
      <c r="A44" s="0" t="s">
        <v>64</v>
      </c>
      <c r="B44" s="0" t="s">
        <v>12</v>
      </c>
    </row>
    <row r="45" customFormat="false" ht="15" hidden="false" customHeight="false" outlineLevel="0" collapsed="false">
      <c r="A45" s="0" t="s">
        <v>65</v>
      </c>
      <c r="B45" s="0" t="s">
        <v>9</v>
      </c>
    </row>
    <row r="46" customFormat="false" ht="15" hidden="false" customHeight="false" outlineLevel="0" collapsed="false">
      <c r="A46" s="0" t="s">
        <v>66</v>
      </c>
      <c r="B46" s="0" t="s">
        <v>12</v>
      </c>
    </row>
    <row r="47" customFormat="false" ht="15" hidden="false" customHeight="false" outlineLevel="0" collapsed="false">
      <c r="A47" s="0" t="s">
        <v>67</v>
      </c>
      <c r="B47" s="0" t="s">
        <v>15</v>
      </c>
    </row>
    <row r="48" customFormat="false" ht="15" hidden="false" customHeight="false" outlineLevel="0" collapsed="false">
      <c r="A48" s="0" t="s">
        <v>68</v>
      </c>
      <c r="B48" s="0" t="s">
        <v>9</v>
      </c>
    </row>
    <row r="49" customFormat="false" ht="15" hidden="false" customHeight="false" outlineLevel="0" collapsed="false">
      <c r="A49" s="0" t="s">
        <v>69</v>
      </c>
      <c r="B49" s="0" t="s">
        <v>3</v>
      </c>
    </row>
    <row r="50" customFormat="false" ht="15" hidden="false" customHeight="false" outlineLevel="0" collapsed="false">
      <c r="A50" s="0" t="s">
        <v>70</v>
      </c>
      <c r="B50" s="0" t="s">
        <v>15</v>
      </c>
    </row>
    <row r="51" customFormat="false" ht="15" hidden="false" customHeight="false" outlineLevel="0" collapsed="false">
      <c r="A51" s="0" t="s">
        <v>71</v>
      </c>
      <c r="B51" s="0" t="s">
        <v>12</v>
      </c>
    </row>
    <row r="52" customFormat="false" ht="15" hidden="false" customHeight="false" outlineLevel="0" collapsed="false">
      <c r="A52" s="0" t="s">
        <v>72</v>
      </c>
      <c r="B52" s="0" t="s">
        <v>9</v>
      </c>
    </row>
    <row r="53" customFormat="false" ht="15" hidden="false" customHeight="false" outlineLevel="0" collapsed="false">
      <c r="A53" s="0" t="s">
        <v>73</v>
      </c>
      <c r="B53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7" min="3" style="0" width="8"/>
    <col collapsed="false" customWidth="true" hidden="false" outlineLevel="0" max="10" min="8" style="0" width="9"/>
  </cols>
  <sheetData>
    <row r="1" customFormat="false" ht="15" hidden="false" customHeight="false" outlineLevel="0" collapsed="false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</row>
    <row r="2" customFormat="false" ht="15" hidden="false" customHeight="false" outlineLevel="0" collapsed="false">
      <c r="A2" s="0" t="n">
        <v>0</v>
      </c>
      <c r="B2" s="0" t="n">
        <v>99</v>
      </c>
      <c r="C2" s="0" t="n">
        <v>200</v>
      </c>
      <c r="D2" s="0" t="n">
        <v>225</v>
      </c>
      <c r="E2" s="0" t="n">
        <v>250</v>
      </c>
      <c r="F2" s="0" t="n">
        <v>300</v>
      </c>
      <c r="G2" s="0" t="n">
        <v>350</v>
      </c>
      <c r="H2" s="0" t="n">
        <v>500</v>
      </c>
      <c r="I2" s="0" t="n">
        <v>600</v>
      </c>
      <c r="J2" s="0" t="n">
        <v>650</v>
      </c>
    </row>
    <row r="3" customFormat="false" ht="15" hidden="false" customHeight="false" outlineLevel="0" collapsed="false">
      <c r="A3" s="0" t="n">
        <v>100</v>
      </c>
      <c r="B3" s="0" t="n">
        <v>249</v>
      </c>
      <c r="C3" s="0" t="n">
        <v>275</v>
      </c>
      <c r="D3" s="0" t="n">
        <v>300</v>
      </c>
      <c r="E3" s="0" t="n">
        <v>325</v>
      </c>
      <c r="F3" s="0" t="n">
        <v>375</v>
      </c>
      <c r="G3" s="0" t="n">
        <v>425</v>
      </c>
      <c r="H3" s="0" t="n">
        <v>600</v>
      </c>
      <c r="I3" s="0" t="n">
        <v>700</v>
      </c>
      <c r="J3" s="0" t="n">
        <v>750</v>
      </c>
    </row>
    <row r="4" customFormat="false" ht="15" hidden="false" customHeight="false" outlineLevel="0" collapsed="false">
      <c r="A4" s="0" t="n">
        <v>250</v>
      </c>
      <c r="B4" s="0" t="n">
        <v>499</v>
      </c>
      <c r="C4" s="0" t="n">
        <v>325</v>
      </c>
      <c r="D4" s="0" t="n">
        <v>375</v>
      </c>
      <c r="E4" s="0" t="n">
        <v>400</v>
      </c>
      <c r="F4" s="0" t="n">
        <v>450</v>
      </c>
      <c r="G4" s="0" t="n">
        <v>525</v>
      </c>
      <c r="H4" s="0" t="n">
        <v>750</v>
      </c>
      <c r="I4" s="0" t="n">
        <v>850</v>
      </c>
      <c r="J4" s="0" t="n">
        <v>900</v>
      </c>
    </row>
    <row r="5" customFormat="false" ht="15" hidden="false" customHeight="false" outlineLevel="0" collapsed="false">
      <c r="A5" s="0" t="n">
        <v>500</v>
      </c>
      <c r="B5" s="0" t="n">
        <v>749</v>
      </c>
      <c r="C5" s="0" t="n">
        <v>375</v>
      </c>
      <c r="D5" s="0" t="n">
        <v>450</v>
      </c>
      <c r="E5" s="0" t="n">
        <v>500</v>
      </c>
      <c r="F5" s="0" t="n">
        <v>550</v>
      </c>
      <c r="G5" s="0" t="n">
        <v>650</v>
      </c>
      <c r="H5" s="0" t="n">
        <v>900</v>
      </c>
      <c r="I5" s="0" t="n">
        <v>1000</v>
      </c>
      <c r="J5" s="0" t="n">
        <v>1100</v>
      </c>
    </row>
    <row r="6" customFormat="false" ht="15" hidden="false" customHeight="false" outlineLevel="0" collapsed="false">
      <c r="A6" s="0" t="n">
        <v>750</v>
      </c>
      <c r="B6" s="0" t="n">
        <v>999</v>
      </c>
      <c r="C6" s="0" t="n">
        <v>425</v>
      </c>
      <c r="D6" s="0" t="n">
        <v>525</v>
      </c>
      <c r="E6" s="0" t="n">
        <v>600</v>
      </c>
      <c r="F6" s="0" t="n">
        <v>675</v>
      </c>
      <c r="G6" s="0" t="n">
        <v>800</v>
      </c>
      <c r="H6" s="0" t="n">
        <v>1100</v>
      </c>
      <c r="I6" s="0" t="n">
        <v>1200</v>
      </c>
      <c r="J6" s="0" t="n">
        <v>1300</v>
      </c>
    </row>
    <row r="7" customFormat="false" ht="15" hidden="false" customHeight="false" outlineLevel="0" collapsed="false">
      <c r="A7" s="0" t="n">
        <v>1000</v>
      </c>
      <c r="B7" s="0" t="n">
        <v>1499</v>
      </c>
      <c r="C7" s="0" t="n">
        <v>500</v>
      </c>
      <c r="D7" s="0" t="n">
        <v>625</v>
      </c>
      <c r="E7" s="0" t="n">
        <v>725</v>
      </c>
      <c r="F7" s="0" t="n">
        <v>825</v>
      </c>
      <c r="G7" s="0" t="n">
        <v>975</v>
      </c>
      <c r="H7" s="0" t="n">
        <v>1350</v>
      </c>
      <c r="I7" s="0" t="n">
        <v>1500</v>
      </c>
      <c r="J7" s="0" t="n">
        <v>1600</v>
      </c>
    </row>
    <row r="8" customFormat="false" ht="15" hidden="false" customHeight="false" outlineLevel="0" collapsed="false">
      <c r="A8" s="0" t="n">
        <v>1500</v>
      </c>
      <c r="B8" s="0" t="n">
        <v>1999</v>
      </c>
      <c r="C8" s="0" t="n">
        <v>600</v>
      </c>
      <c r="D8" s="0" t="n">
        <v>750</v>
      </c>
      <c r="E8" s="0" t="n">
        <v>875</v>
      </c>
      <c r="F8" s="0" t="n">
        <v>1000</v>
      </c>
      <c r="G8" s="0" t="n">
        <v>1175</v>
      </c>
      <c r="H8" s="0" t="n">
        <v>1650</v>
      </c>
      <c r="I8" s="0" t="n">
        <v>1800</v>
      </c>
      <c r="J8" s="0" t="n">
        <v>1950</v>
      </c>
    </row>
    <row r="9" customFormat="false" ht="15" hidden="false" customHeight="false" outlineLevel="0" collapsed="false">
      <c r="A9" s="0" t="n">
        <v>2000</v>
      </c>
      <c r="B9" s="0" t="n">
        <v>2499</v>
      </c>
      <c r="C9" s="0" t="n">
        <v>725</v>
      </c>
      <c r="D9" s="0" t="n">
        <v>900</v>
      </c>
      <c r="E9" s="0" t="n">
        <v>1050</v>
      </c>
      <c r="F9" s="0" t="n">
        <v>1200</v>
      </c>
      <c r="G9" s="0" t="n">
        <v>1400</v>
      </c>
      <c r="H9" s="0" t="n">
        <v>2000</v>
      </c>
      <c r="I9" s="0" t="n">
        <v>2200</v>
      </c>
      <c r="J9" s="0" t="n">
        <v>2350</v>
      </c>
    </row>
    <row r="10" customFormat="false" ht="15" hidden="false" customHeight="false" outlineLevel="0" collapsed="false">
      <c r="A10" s="0" t="n">
        <v>2500</v>
      </c>
      <c r="B10" s="0" t="n">
        <v>2999</v>
      </c>
      <c r="C10" s="0" t="n">
        <v>850</v>
      </c>
      <c r="D10" s="0" t="n">
        <v>1050</v>
      </c>
      <c r="E10" s="0" t="n">
        <v>1225</v>
      </c>
      <c r="F10" s="0" t="n">
        <v>1400</v>
      </c>
      <c r="G10" s="0" t="n">
        <v>1625</v>
      </c>
      <c r="H10" s="0" t="n">
        <v>2350</v>
      </c>
      <c r="I10" s="0" t="n">
        <v>2550</v>
      </c>
      <c r="J10" s="0" t="n">
        <v>2750</v>
      </c>
    </row>
    <row r="11" customFormat="false" ht="15" hidden="false" customHeight="false" outlineLevel="0" collapsed="false">
      <c r="A11" s="0" t="n">
        <v>3000</v>
      </c>
      <c r="B11" s="0" t="n">
        <v>3499</v>
      </c>
      <c r="C11" s="0" t="n">
        <v>975</v>
      </c>
      <c r="D11" s="0" t="n">
        <v>1200</v>
      </c>
      <c r="E11" s="0" t="n">
        <v>1400</v>
      </c>
      <c r="F11" s="0" t="n">
        <v>1600</v>
      </c>
      <c r="G11" s="0" t="n">
        <v>1875</v>
      </c>
      <c r="H11" s="0" t="n">
        <v>2700</v>
      </c>
      <c r="I11" s="0" t="n">
        <v>2950</v>
      </c>
      <c r="J11" s="0" t="n">
        <v>3150</v>
      </c>
    </row>
    <row r="12" customFormat="false" ht="15" hidden="false" customHeight="false" outlineLevel="0" collapsed="false">
      <c r="A12" s="0" t="n">
        <v>3500</v>
      </c>
      <c r="B12" s="0" t="n">
        <v>3999</v>
      </c>
      <c r="C12" s="0" t="n">
        <v>1100</v>
      </c>
      <c r="D12" s="0" t="n">
        <v>1350</v>
      </c>
      <c r="E12" s="0" t="n">
        <v>1575</v>
      </c>
      <c r="F12" s="0" t="n">
        <v>1800</v>
      </c>
      <c r="G12" s="0" t="n">
        <v>2100</v>
      </c>
      <c r="H12" s="0" t="n">
        <v>3050</v>
      </c>
      <c r="I12" s="0" t="n">
        <v>3300</v>
      </c>
      <c r="J12" s="0" t="n">
        <v>3550</v>
      </c>
    </row>
    <row r="13" customFormat="false" ht="15" hidden="false" customHeight="false" outlineLevel="0" collapsed="false">
      <c r="A13" s="0" t="n">
        <v>4000</v>
      </c>
      <c r="B13" s="0" t="n">
        <v>4499</v>
      </c>
      <c r="C13" s="0" t="n">
        <v>1225</v>
      </c>
      <c r="D13" s="0" t="n">
        <v>1500</v>
      </c>
      <c r="E13" s="0" t="n">
        <v>1750</v>
      </c>
      <c r="F13" s="0" t="n">
        <v>2000</v>
      </c>
      <c r="G13" s="0" t="n">
        <v>2350</v>
      </c>
      <c r="H13" s="0" t="n">
        <v>3400</v>
      </c>
      <c r="I13" s="0" t="n">
        <v>3700</v>
      </c>
      <c r="J13" s="0" t="n">
        <v>3950</v>
      </c>
    </row>
    <row r="14" customFormat="false" ht="15" hidden="false" customHeight="false" outlineLevel="0" collapsed="false">
      <c r="A14" s="0" t="n">
        <v>4500</v>
      </c>
      <c r="B14" s="0" t="n">
        <v>4999</v>
      </c>
      <c r="C14" s="0" t="n">
        <v>1350</v>
      </c>
      <c r="D14" s="0" t="n">
        <v>1650</v>
      </c>
      <c r="E14" s="0" t="n">
        <v>1925</v>
      </c>
      <c r="F14" s="0" t="n">
        <v>2200</v>
      </c>
      <c r="G14" s="0" t="n">
        <v>2575</v>
      </c>
      <c r="H14" s="0" t="n">
        <v>3750</v>
      </c>
      <c r="I14" s="0" t="n">
        <v>4050</v>
      </c>
      <c r="J14" s="0" t="n">
        <v>4350</v>
      </c>
    </row>
    <row r="15" customFormat="false" ht="15" hidden="false" customHeight="false" outlineLevel="0" collapsed="false">
      <c r="A15" s="0" t="n">
        <v>5000</v>
      </c>
      <c r="B15" s="0" t="n">
        <v>9999</v>
      </c>
      <c r="C15" s="0" t="s">
        <v>84</v>
      </c>
      <c r="D15" s="0" t="s">
        <v>84</v>
      </c>
      <c r="E15" s="0" t="s">
        <v>84</v>
      </c>
      <c r="F15" s="0" t="s">
        <v>84</v>
      </c>
      <c r="G15" s="0" t="s">
        <v>84</v>
      </c>
      <c r="H15" s="0" t="s">
        <v>84</v>
      </c>
      <c r="I15" s="0" t="s">
        <v>84</v>
      </c>
      <c r="J15" s="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" t="s">
        <v>85</v>
      </c>
      <c r="B1" s="1" t="s">
        <v>86</v>
      </c>
      <c r="C1" s="1" t="s">
        <v>87</v>
      </c>
      <c r="D1" s="1" t="s">
        <v>88</v>
      </c>
    </row>
    <row r="2" customFormat="false" ht="15" hidden="false" customHeight="false" outlineLevel="0" collapsed="false">
      <c r="A2" s="0" t="s">
        <v>89</v>
      </c>
      <c r="B2" s="0" t="s">
        <v>90</v>
      </c>
      <c r="C2" s="0" t="n">
        <v>55</v>
      </c>
      <c r="D2" s="0" t="s">
        <v>91</v>
      </c>
    </row>
    <row r="3" customFormat="false" ht="15" hidden="false" customHeight="false" outlineLevel="0" collapsed="false">
      <c r="A3" s="0" t="s">
        <v>92</v>
      </c>
      <c r="B3" s="0" t="s">
        <v>90</v>
      </c>
      <c r="C3" s="0" t="n">
        <v>55</v>
      </c>
      <c r="D3" s="0" t="s">
        <v>93</v>
      </c>
    </row>
    <row r="4" customFormat="false" ht="15" hidden="false" customHeight="false" outlineLevel="0" collapsed="false">
      <c r="A4" s="0" t="s">
        <v>94</v>
      </c>
      <c r="B4" s="0" t="s">
        <v>90</v>
      </c>
      <c r="C4" s="0" t="n">
        <v>65</v>
      </c>
      <c r="D4" s="0" t="s">
        <v>95</v>
      </c>
    </row>
    <row r="5" customFormat="false" ht="15" hidden="false" customHeight="false" outlineLevel="0" collapsed="false">
      <c r="A5" s="0" t="s">
        <v>96</v>
      </c>
      <c r="B5" s="0" t="s">
        <v>90</v>
      </c>
      <c r="C5" s="0" t="n">
        <v>65</v>
      </c>
      <c r="D5" s="0" t="s">
        <v>97</v>
      </c>
    </row>
    <row r="6" customFormat="false" ht="15" hidden="false" customHeight="false" outlineLevel="0" collapsed="false">
      <c r="A6" s="0" t="s">
        <v>98</v>
      </c>
      <c r="B6" s="0" t="s">
        <v>90</v>
      </c>
      <c r="C6" s="0" t="n">
        <v>85</v>
      </c>
      <c r="D6" s="0" t="s">
        <v>99</v>
      </c>
    </row>
    <row r="7" customFormat="false" ht="15" hidden="false" customHeight="false" outlineLevel="0" collapsed="false">
      <c r="A7" s="0" t="s">
        <v>100</v>
      </c>
      <c r="B7" s="0" t="s">
        <v>90</v>
      </c>
      <c r="C7" s="0" t="n">
        <v>85</v>
      </c>
      <c r="D7" s="0" t="s">
        <v>101</v>
      </c>
    </row>
    <row r="8" customFormat="false" ht="15" hidden="false" customHeight="false" outlineLevel="0" collapsed="false">
      <c r="A8" s="0" t="s">
        <v>102</v>
      </c>
      <c r="B8" s="0" t="s">
        <v>90</v>
      </c>
      <c r="C8" s="0" t="n">
        <v>75</v>
      </c>
      <c r="D8" s="0" t="s">
        <v>103</v>
      </c>
    </row>
    <row r="9" customFormat="false" ht="15" hidden="false" customHeight="false" outlineLevel="0" collapsed="false">
      <c r="A9" s="0" t="s">
        <v>104</v>
      </c>
      <c r="B9" s="0" t="s">
        <v>90</v>
      </c>
      <c r="C9" s="0" t="n">
        <v>75</v>
      </c>
      <c r="D9" s="0" t="s">
        <v>103</v>
      </c>
    </row>
    <row r="10" customFormat="false" ht="15" hidden="false" customHeight="false" outlineLevel="0" collapsed="false">
      <c r="A10" s="0" t="s">
        <v>105</v>
      </c>
      <c r="B10" s="0" t="s">
        <v>90</v>
      </c>
      <c r="C10" s="0" t="n">
        <v>25</v>
      </c>
      <c r="D10" s="0" t="s">
        <v>106</v>
      </c>
    </row>
    <row r="11" customFormat="false" ht="15" hidden="false" customHeight="false" outlineLevel="0" collapsed="false">
      <c r="A11" s="0" t="s">
        <v>107</v>
      </c>
      <c r="B11" s="0" t="s">
        <v>90</v>
      </c>
      <c r="C11" s="0" t="n">
        <v>35</v>
      </c>
      <c r="D11" s="0" t="s">
        <v>108</v>
      </c>
    </row>
    <row r="12" customFormat="false" ht="15" hidden="false" customHeight="false" outlineLevel="0" collapsed="false">
      <c r="A12" s="0" t="s">
        <v>109</v>
      </c>
      <c r="B12" s="0" t="s">
        <v>90</v>
      </c>
      <c r="C12" s="0" t="n">
        <v>150</v>
      </c>
      <c r="D12" s="0" t="s">
        <v>110</v>
      </c>
    </row>
    <row r="13" customFormat="false" ht="15" hidden="false" customHeight="false" outlineLevel="0" collapsed="false">
      <c r="A13" s="0" t="s">
        <v>111</v>
      </c>
      <c r="B13" s="0" t="s">
        <v>112</v>
      </c>
      <c r="C13" s="0" t="n">
        <v>0.2</v>
      </c>
      <c r="D13" s="0" t="s">
        <v>113</v>
      </c>
    </row>
    <row r="14" customFormat="false" ht="15" hidden="false" customHeight="false" outlineLevel="0" collapsed="false">
      <c r="A14" s="0" t="s">
        <v>114</v>
      </c>
      <c r="B14" s="0" t="s">
        <v>90</v>
      </c>
      <c r="C14" s="0" t="n">
        <v>40</v>
      </c>
      <c r="D14" s="0" t="s">
        <v>115</v>
      </c>
    </row>
    <row r="15" customFormat="false" ht="15" hidden="false" customHeight="false" outlineLevel="0" collapsed="false">
      <c r="A15" s="0" t="s">
        <v>116</v>
      </c>
      <c r="B15" s="0" t="s">
        <v>117</v>
      </c>
      <c r="C15" s="0" t="n">
        <v>15</v>
      </c>
      <c r="D15" s="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"/>
    <col collapsed="false" customWidth="true" hidden="false" outlineLevel="0" max="3" min="3" style="0" width="41"/>
    <col collapsed="false" customWidth="true" hidden="false" outlineLevel="0" max="4" min="4" style="0" width="2"/>
  </cols>
  <sheetData>
    <row r="1" customFormat="false" ht="17.35" hidden="false" customHeight="false" outlineLevel="0" collapsed="false">
      <c r="A1" s="2" t="s">
        <v>119</v>
      </c>
      <c r="B1" s="1"/>
      <c r="C1" s="1"/>
      <c r="D1" s="1"/>
    </row>
    <row r="3" customFormat="false" ht="15" hidden="false" customHeight="false" outlineLevel="0" collapsed="false">
      <c r="A3" s="3" t="s">
        <v>120</v>
      </c>
    </row>
    <row r="4" customFormat="false" ht="15" hidden="false" customHeight="false" outlineLevel="0" collapsed="false">
      <c r="A4" s="0" t="s">
        <v>121</v>
      </c>
      <c r="B4" s="0" t="s">
        <v>42</v>
      </c>
    </row>
    <row r="5" customFormat="false" ht="15" hidden="false" customHeight="false" outlineLevel="0" collapsed="false">
      <c r="A5" s="0" t="s">
        <v>122</v>
      </c>
      <c r="C5" s="0" t="s">
        <v>123</v>
      </c>
    </row>
    <row r="6" customFormat="false" ht="15" hidden="false" customHeight="false" outlineLevel="0" collapsed="false">
      <c r="A6" s="0" t="s">
        <v>124</v>
      </c>
      <c r="C6" s="0" t="s">
        <v>125</v>
      </c>
    </row>
    <row r="8" customFormat="false" ht="15" hidden="false" customHeight="false" outlineLevel="0" collapsed="false">
      <c r="A8" s="3" t="s">
        <v>126</v>
      </c>
    </row>
    <row r="9" customFormat="false" ht="15" hidden="false" customHeight="false" outlineLevel="0" collapsed="false">
      <c r="A9" s="0" t="s">
        <v>127</v>
      </c>
    </row>
    <row r="10" customFormat="false" ht="15" hidden="false" customHeight="false" outlineLevel="0" collapsed="false">
      <c r="A10" s="0" t="s">
        <v>128</v>
      </c>
    </row>
    <row r="11" customFormat="false" ht="15" hidden="false" customHeight="false" outlineLevel="0" collapsed="false">
      <c r="A11" s="0" t="s">
        <v>129</v>
      </c>
    </row>
    <row r="12" customFormat="false" ht="15" hidden="false" customHeight="false" outlineLevel="0" collapsed="false">
      <c r="A12" s="0" t="s">
        <v>130</v>
      </c>
    </row>
    <row r="13" customFormat="false" ht="15" hidden="false" customHeight="false" outlineLevel="0" collapsed="false">
      <c r="A13" s="0" t="s">
        <v>131</v>
      </c>
    </row>
    <row r="14" customFormat="false" ht="15" hidden="false" customHeight="false" outlineLevel="0" collapsed="false">
      <c r="A14" s="0" t="s">
        <v>132</v>
      </c>
    </row>
    <row r="15" customFormat="false" ht="15" hidden="false" customHeight="false" outlineLevel="0" collapsed="false">
      <c r="A15" s="0" t="s">
        <v>133</v>
      </c>
    </row>
    <row r="16" customFormat="false" ht="15" hidden="false" customHeight="false" outlineLevel="0" collapsed="false">
      <c r="A16" s="0" t="s">
        <v>134</v>
      </c>
    </row>
    <row r="17" customFormat="false" ht="15" hidden="false" customHeight="false" outlineLevel="0" collapsed="false">
      <c r="A17" s="0" t="s">
        <v>135</v>
      </c>
    </row>
    <row r="18" customFormat="false" ht="15" hidden="false" customHeight="false" outlineLevel="0" collapsed="false">
      <c r="A18" s="0" t="s">
        <v>136</v>
      </c>
    </row>
    <row r="20" customFormat="false" ht="15" hidden="false" customHeight="false" outlineLevel="0" collapsed="false">
      <c r="A20" s="3" t="s">
        <v>137</v>
      </c>
    </row>
    <row r="21" customFormat="false" ht="15" hidden="false" customHeight="false" outlineLevel="0" collapsed="false">
      <c r="A21" s="0" t="s">
        <v>138</v>
      </c>
      <c r="C21" s="0" t="s">
        <v>139</v>
      </c>
    </row>
    <row r="23" customFormat="false" ht="15" hidden="false" customHeight="false" outlineLevel="0" collapsed="false">
      <c r="A23" s="3" t="s">
        <v>140</v>
      </c>
      <c r="C23" s="4" t="s">
        <v>141</v>
      </c>
    </row>
    <row r="24" customFormat="false" ht="15" hidden="false" customHeight="false" outlineLevel="0" collapsed="false">
      <c r="A24" s="0" t="s">
        <v>142</v>
      </c>
      <c r="C24" s="0" t="e">
        <f aca="false">VLOOKUP(B5,'State Lookup'!A:B,2,FALSE())</f>
        <v>#N/A</v>
      </c>
    </row>
    <row r="25" customFormat="false" ht="15" hidden="false" customHeight="false" outlineLevel="0" collapsed="false">
      <c r="A25" s="0" t="s">
        <v>143</v>
      </c>
      <c r="C25" s="0" t="s">
        <v>144</v>
      </c>
    </row>
    <row r="26" customFormat="false" ht="15" hidden="false" customHeight="false" outlineLevel="0" collapsed="false">
      <c r="A26" s="0" t="s">
        <v>145</v>
      </c>
    </row>
    <row r="28" customFormat="false" ht="15" hidden="false" customHeight="false" outlineLevel="0" collapsed="false">
      <c r="A28" s="0" t="s">
        <v>146</v>
      </c>
    </row>
    <row r="29" customFormat="false" ht="15" hidden="false" customHeight="false" outlineLevel="0" collapsed="false">
      <c r="A29" s="0" t="s">
        <v>147</v>
      </c>
      <c r="C29" s="0" t="n">
        <f aca="false">IF(B9="X",55,0)</f>
        <v>0</v>
      </c>
    </row>
    <row r="30" customFormat="false" ht="15" hidden="false" customHeight="false" outlineLevel="0" collapsed="false">
      <c r="A30" s="0" t="s">
        <v>148</v>
      </c>
      <c r="C30" s="0" t="n">
        <f aca="false">IF(B10="X",55,0)</f>
        <v>0</v>
      </c>
    </row>
    <row r="31" customFormat="false" ht="15" hidden="false" customHeight="false" outlineLevel="0" collapsed="false">
      <c r="A31" s="0" t="s">
        <v>149</v>
      </c>
      <c r="C31" s="0" t="n">
        <f aca="false">IF(B11="X",65,0)</f>
        <v>0</v>
      </c>
    </row>
    <row r="32" customFormat="false" ht="15" hidden="false" customHeight="false" outlineLevel="0" collapsed="false">
      <c r="A32" s="0" t="s">
        <v>150</v>
      </c>
      <c r="C32" s="0" t="n">
        <f aca="false">IF(B12="X",65,0)</f>
        <v>0</v>
      </c>
    </row>
    <row r="33" customFormat="false" ht="15" hidden="false" customHeight="false" outlineLevel="0" collapsed="false">
      <c r="A33" s="0" t="s">
        <v>151</v>
      </c>
      <c r="C33" s="0" t="n">
        <f aca="false">IF(B13="X",85,0)</f>
        <v>0</v>
      </c>
    </row>
    <row r="34" customFormat="false" ht="15" hidden="false" customHeight="false" outlineLevel="0" collapsed="false">
      <c r="A34" s="0" t="s">
        <v>152</v>
      </c>
      <c r="C34" s="0" t="n">
        <f aca="false">IF(B14="X",85,0)</f>
        <v>0</v>
      </c>
    </row>
    <row r="35" customFormat="false" ht="15" hidden="false" customHeight="false" outlineLevel="0" collapsed="false">
      <c r="A35" s="0" t="s">
        <v>153</v>
      </c>
      <c r="C35" s="0" t="n">
        <f aca="false">IF(B15="X",75,0)</f>
        <v>0</v>
      </c>
    </row>
    <row r="36" customFormat="false" ht="15" hidden="false" customHeight="false" outlineLevel="0" collapsed="false">
      <c r="A36" s="0" t="s">
        <v>154</v>
      </c>
      <c r="C36" s="0" t="n">
        <f aca="false">IF(B16="X",75,0)</f>
        <v>0</v>
      </c>
    </row>
    <row r="37" customFormat="false" ht="15" hidden="false" customHeight="false" outlineLevel="0" collapsed="false">
      <c r="A37" s="0" t="s">
        <v>155</v>
      </c>
      <c r="C37" s="0" t="n">
        <f aca="false">IF(B17="X",25,0)</f>
        <v>0</v>
      </c>
    </row>
    <row r="38" customFormat="false" ht="15" hidden="false" customHeight="false" outlineLevel="0" collapsed="false">
      <c r="A38" s="0" t="s">
        <v>156</v>
      </c>
      <c r="C38" s="0" t="n">
        <f aca="false">IF(B18="X",150,0)</f>
        <v>0</v>
      </c>
    </row>
    <row r="40" customFormat="false" ht="15" hidden="false" customHeight="false" outlineLevel="0" collapsed="false">
      <c r="A40" s="0" t="s">
        <v>157</v>
      </c>
    </row>
    <row r="42" customFormat="false" ht="15" hidden="false" customHeight="false" outlineLevel="0" collapsed="false">
      <c r="A42" s="5" t="s">
        <v>158</v>
      </c>
    </row>
    <row r="43" customFormat="false" ht="15" hidden="false" customHeight="false" outlineLevel="0" collapsed="false">
      <c r="A43" s="0" t="s">
        <v>159</v>
      </c>
    </row>
    <row r="45" customFormat="false" ht="17.35" hidden="false" customHeight="false" outlineLevel="0" collapsed="false">
      <c r="A45" s="6" t="s">
        <v>160</v>
      </c>
    </row>
    <row r="47" customFormat="false" ht="15" hidden="false" customHeight="false" outlineLevel="0" collapsed="false">
      <c r="A47" s="0" t="s">
        <v>161</v>
      </c>
    </row>
    <row r="48" customFormat="false" ht="15" hidden="false" customHeight="false" outlineLevel="0" collapsed="false">
      <c r="A48" s="0" t="s">
        <v>162</v>
      </c>
    </row>
    <row r="49" customFormat="false" ht="15" hidden="false" customHeight="false" outlineLevel="0" collapsed="false">
      <c r="A49" s="0" t="s">
        <v>163</v>
      </c>
    </row>
    <row r="50" customFormat="false" ht="15" hidden="false" customHeight="false" outlineLevel="0" collapsed="false">
      <c r="A50" s="0" t="s">
        <v>164</v>
      </c>
    </row>
    <row r="51" customFormat="false" ht="15" hidden="false" customHeight="false" outlineLevel="0" collapsed="false">
      <c r="A51" s="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47"/>
  </cols>
  <sheetData>
    <row r="1" customFormat="false" ht="15" hidden="false" customHeight="false" outlineLevel="0" collapsed="false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88</v>
      </c>
    </row>
    <row r="2" customFormat="false" ht="15" hidden="false" customHeight="false" outlineLevel="0" collapsed="false">
      <c r="A2" s="0" t="n">
        <v>610501</v>
      </c>
      <c r="B2" s="0" t="s">
        <v>42</v>
      </c>
      <c r="C2" s="0" t="s">
        <v>44</v>
      </c>
      <c r="D2" s="0" t="s">
        <v>3</v>
      </c>
      <c r="E2" s="0" t="n">
        <v>189</v>
      </c>
      <c r="F2" s="0" t="n">
        <v>301.35</v>
      </c>
      <c r="G2" s="0" t="n">
        <v>37</v>
      </c>
      <c r="H2" s="0" t="n">
        <v>338.35</v>
      </c>
      <c r="I2" s="0" t="n">
        <v>1.59</v>
      </c>
    </row>
    <row r="3" customFormat="false" ht="15" hidden="false" customHeight="false" outlineLevel="0" collapsed="false">
      <c r="A3" s="0" t="n">
        <v>608903</v>
      </c>
      <c r="B3" s="0" t="s">
        <v>42</v>
      </c>
      <c r="C3" s="0" t="s">
        <v>44</v>
      </c>
      <c r="D3" s="0" t="s">
        <v>3</v>
      </c>
      <c r="E3" s="0" t="n">
        <v>596</v>
      </c>
      <c r="F3" s="0" t="n">
        <v>223.04</v>
      </c>
      <c r="G3" s="0" t="n">
        <v>37</v>
      </c>
      <c r="H3" s="0" t="n">
        <v>260.04</v>
      </c>
      <c r="I3" s="0" t="n">
        <v>0.37</v>
      </c>
    </row>
    <row r="4" customFormat="false" ht="15" hidden="false" customHeight="false" outlineLevel="0" collapsed="false">
      <c r="A4" s="0" t="n">
        <v>607090</v>
      </c>
      <c r="B4" s="0" t="s">
        <v>42</v>
      </c>
      <c r="C4" s="0" t="s">
        <v>61</v>
      </c>
      <c r="D4" s="0" t="s">
        <v>6</v>
      </c>
      <c r="E4" s="0" t="n">
        <v>175</v>
      </c>
      <c r="F4" s="0" t="n">
        <v>306.27</v>
      </c>
      <c r="G4" s="0" t="n">
        <v>37</v>
      </c>
      <c r="H4" s="0" t="n">
        <v>343.27</v>
      </c>
      <c r="I4" s="0" t="n">
        <v>1.75</v>
      </c>
    </row>
    <row r="5" customFormat="false" ht="15" hidden="false" customHeight="false" outlineLevel="0" collapsed="false">
      <c r="A5" s="0" t="n">
        <v>604236</v>
      </c>
      <c r="B5" s="0" t="s">
        <v>42</v>
      </c>
      <c r="C5" s="0" t="s">
        <v>50</v>
      </c>
      <c r="D5" s="0" t="s">
        <v>9</v>
      </c>
      <c r="E5" s="0" t="n">
        <v>175</v>
      </c>
      <c r="F5" s="0" t="n">
        <v>294.55</v>
      </c>
      <c r="G5" s="0" t="n">
        <v>38</v>
      </c>
      <c r="H5" s="0" t="n">
        <v>332.55</v>
      </c>
      <c r="I5" s="0" t="n">
        <v>1.68</v>
      </c>
    </row>
    <row r="6" customFormat="false" ht="15" hidden="false" customHeight="false" outlineLevel="0" collapsed="false">
      <c r="A6" s="0" t="n">
        <v>635806</v>
      </c>
      <c r="B6" s="0" t="s">
        <v>42</v>
      </c>
      <c r="C6" s="0" t="s">
        <v>61</v>
      </c>
      <c r="D6" s="0" t="s">
        <v>6</v>
      </c>
      <c r="E6" s="0" t="n">
        <v>920</v>
      </c>
      <c r="F6" s="0" t="n">
        <v>439.68</v>
      </c>
      <c r="G6" s="0" t="n">
        <v>37</v>
      </c>
      <c r="H6" s="0" t="n">
        <v>476.68</v>
      </c>
      <c r="I6" s="0" t="n">
        <v>0.48</v>
      </c>
    </row>
    <row r="7" customFormat="false" ht="15" hidden="false" customHeight="false" outlineLevel="0" collapsed="false">
      <c r="A7" s="0" t="n">
        <v>632954</v>
      </c>
      <c r="B7" s="0" t="s">
        <v>42</v>
      </c>
      <c r="C7" s="0" t="s">
        <v>37</v>
      </c>
      <c r="D7" s="0" t="s">
        <v>12</v>
      </c>
      <c r="E7" s="0" t="n">
        <v>2630</v>
      </c>
      <c r="F7" s="0" t="n">
        <v>567.63</v>
      </c>
      <c r="G7" s="0" t="n">
        <v>60</v>
      </c>
      <c r="H7" s="0" t="n">
        <v>627.63</v>
      </c>
      <c r="I7" s="0" t="n">
        <v>0.22</v>
      </c>
    </row>
    <row r="8" customFormat="false" ht="15" hidden="false" customHeight="false" outlineLevel="0" collapsed="false">
      <c r="A8" s="0" t="n">
        <v>632598</v>
      </c>
      <c r="B8" s="0" t="s">
        <v>42</v>
      </c>
      <c r="C8" s="0" t="s">
        <v>45</v>
      </c>
      <c r="D8" s="0" t="s">
        <v>9</v>
      </c>
      <c r="E8" s="0" t="n">
        <v>142</v>
      </c>
      <c r="F8" s="0" t="n">
        <v>575.08</v>
      </c>
      <c r="G8" s="0" t="n">
        <v>37</v>
      </c>
      <c r="H8" s="0" t="n">
        <v>612.08</v>
      </c>
      <c r="I8" s="0" t="n">
        <v>4.05</v>
      </c>
      <c r="J8" s="0" t="s">
        <v>175</v>
      </c>
    </row>
    <row r="9" customFormat="false" ht="15" hidden="false" customHeight="false" outlineLevel="0" collapsed="false">
      <c r="A9" s="0" t="n">
        <v>639076</v>
      </c>
      <c r="B9" s="0" t="s">
        <v>42</v>
      </c>
      <c r="C9" s="0" t="s">
        <v>18</v>
      </c>
      <c r="D9" s="0" t="s">
        <v>18</v>
      </c>
      <c r="E9" s="0" t="n">
        <v>3468</v>
      </c>
      <c r="F9" s="0" t="n">
        <v>1798.01</v>
      </c>
      <c r="G9" s="0" t="n">
        <v>93</v>
      </c>
      <c r="H9" s="0" t="n">
        <v>1891.01</v>
      </c>
      <c r="I9" s="0" t="n">
        <v>0.52</v>
      </c>
      <c r="J9" s="0" t="s">
        <v>176</v>
      </c>
    </row>
    <row r="11" customFormat="false" ht="15" hidden="false" customHeight="false" outlineLevel="0" collapsed="false">
      <c r="A11" s="0" t="s">
        <v>177</v>
      </c>
      <c r="B11" s="0" t="s">
        <v>42</v>
      </c>
      <c r="C11" s="0" t="s">
        <v>29</v>
      </c>
      <c r="D11" s="0" t="s">
        <v>15</v>
      </c>
      <c r="E11" s="0" t="n">
        <v>460</v>
      </c>
      <c r="F11" s="0" t="s">
        <v>178</v>
      </c>
      <c r="G11" s="0" t="n">
        <v>108</v>
      </c>
      <c r="H11" s="0" t="n">
        <v>485.97</v>
      </c>
      <c r="J11" s="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2026-01-23T01:56:58Z</dcterms:created>
  <dc:creator>openpyxl</dc:creator>
  <dc:description/>
  <dc:language>en-US</dc:language>
  <cp:lastModifiedBy/>
  <dcterms:modified xsi:type="dcterms:W3CDTF">2026-01-23T01:56:58Z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